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15" i="1"/>
  <c r="J15" s="1"/>
  <c r="H45" l="1"/>
  <c r="J45" s="1"/>
  <c r="H44"/>
  <c r="J44" s="1"/>
  <c r="H42"/>
  <c r="J42" s="1"/>
  <c r="H41"/>
  <c r="J41" s="1"/>
  <c r="H40"/>
  <c r="J40" s="1"/>
  <c r="H39"/>
  <c r="J39" s="1"/>
  <c r="H38"/>
  <c r="J38" s="1"/>
  <c r="H37"/>
  <c r="J37" s="1"/>
  <c r="H35"/>
  <c r="J35" s="1"/>
  <c r="H34"/>
  <c r="J34" s="1"/>
  <c r="H32"/>
  <c r="J32" s="1"/>
  <c r="H31"/>
  <c r="J31" s="1"/>
  <c r="H28"/>
  <c r="J28" s="1"/>
  <c r="H27"/>
  <c r="J27" s="1"/>
  <c r="H26"/>
  <c r="J26" s="1"/>
  <c r="H24"/>
  <c r="J24" s="1"/>
  <c r="H23"/>
  <c r="J23" s="1"/>
  <c r="H22"/>
  <c r="J22" s="1"/>
  <c r="H20"/>
  <c r="J20" s="1"/>
  <c r="H19"/>
  <c r="J19" s="1"/>
  <c r="H17"/>
  <c r="J17" s="1"/>
  <c r="H14"/>
  <c r="J14" s="1"/>
  <c r="H13"/>
  <c r="J13" s="1"/>
  <c r="H12"/>
  <c r="J12" s="1"/>
  <c r="H11"/>
  <c r="J11" s="1"/>
  <c r="H10"/>
  <c r="J10" s="1"/>
  <c r="H9"/>
  <c r="J9" s="1"/>
  <c r="H7"/>
  <c r="J7" s="1"/>
  <c r="H6"/>
  <c r="J6" s="1"/>
  <c r="H5"/>
  <c r="J5" s="1"/>
  <c r="H4"/>
  <c r="J4" s="1"/>
  <c r="H3"/>
  <c r="J3" s="1"/>
</calcChain>
</file>

<file path=xl/sharedStrings.xml><?xml version="1.0" encoding="utf-8"?>
<sst xmlns="http://schemas.openxmlformats.org/spreadsheetml/2006/main" count="43" uniqueCount="43">
  <si>
    <t>MODEL</t>
  </si>
  <si>
    <t>RC</t>
  </si>
  <si>
    <t>Insurance with N.D</t>
  </si>
  <si>
    <t>Standard ACC.</t>
  </si>
  <si>
    <t>HF- DLX DRS (OBD-2)</t>
  </si>
  <si>
    <t>HF -DLX DRS ALL BLACK OBD-2</t>
  </si>
  <si>
    <t>HF -DLX DRS I3S OBD-2</t>
  </si>
  <si>
    <t>HF-DLX PRO</t>
  </si>
  <si>
    <t>SPL AHO (OBD-2)</t>
  </si>
  <si>
    <t>SPL I3S (OBD-2)</t>
  </si>
  <si>
    <t>SPL XTEC OBD-2</t>
  </si>
  <si>
    <t>SPL XTEC DISC. (OBD-2)</t>
  </si>
  <si>
    <t>SPL + XTEC 2.0 (OBD-2)</t>
  </si>
  <si>
    <t>PASSION PLUS (OBD-2)</t>
  </si>
  <si>
    <t>SUPER SPL XTEC (OBD-2)</t>
  </si>
  <si>
    <t>SUPER SPL XTEC DSS (OBD-2)</t>
  </si>
  <si>
    <t>XTREME 125 IBS</t>
  </si>
  <si>
    <t xml:space="preserve">XTREME 125 ABS </t>
  </si>
  <si>
    <t>XTREME 125 ABS DUAL CH ABS</t>
  </si>
  <si>
    <t>GLAMOUR X DRS SELF</t>
  </si>
  <si>
    <t>GLAMOUR X DSS SELF</t>
  </si>
  <si>
    <t>DESTINI PRIME (OBD-2)</t>
  </si>
  <si>
    <t xml:space="preserve">Destini 125 VX New </t>
  </si>
  <si>
    <t>Destini 125 ZX New</t>
  </si>
  <si>
    <t>Destini 125 ZX + New</t>
  </si>
  <si>
    <t>PLEASURE + VX- Fi Digi-Analog (OBD-2)</t>
  </si>
  <si>
    <t>HF-DLX KICK OBD-2</t>
  </si>
  <si>
    <t xml:space="preserve">PLEASURE XTEC </t>
  </si>
  <si>
    <t>Xtreme 160R 2V Single Disc.</t>
  </si>
  <si>
    <t>Xtreme 160R 2V Double Disc.</t>
  </si>
  <si>
    <t xml:space="preserve">Xtreme 160R 4V </t>
  </si>
  <si>
    <t>Destini 110 VX</t>
  </si>
  <si>
    <t>Destini 110 ZX</t>
  </si>
  <si>
    <t>SPL I3S ADD.</t>
  </si>
  <si>
    <t>S.NO.</t>
  </si>
  <si>
    <t>XOOM 125 VX</t>
  </si>
  <si>
    <t>XOOM 125 ZX</t>
  </si>
  <si>
    <t>EX. SHOWROOM</t>
  </si>
  <si>
    <t>On Road Price</t>
  </si>
  <si>
    <t>Total</t>
  </si>
  <si>
    <t>ACC.KIT</t>
  </si>
  <si>
    <t>SPL + 01(OBD-2)</t>
  </si>
  <si>
    <t>16.05.2026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</si>
</sst>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left" wrapText="1"/>
    </xf>
    <xf numFmtId="0" fontId="4" fillId="5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wrapText="1"/>
    </xf>
    <xf numFmtId="0" fontId="4" fillId="5" borderId="1" xfId="0" applyFont="1" applyFill="1" applyBorder="1" applyAlignment="1">
      <alignment horizontal="left" wrapText="1"/>
    </xf>
    <xf numFmtId="0" fontId="4" fillId="6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5" fillId="5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0" fontId="4" fillId="7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J45"/>
  <sheetViews>
    <sheetView tabSelected="1" workbookViewId="0">
      <selection activeCell="I18" sqref="I18:J18"/>
    </sheetView>
  </sheetViews>
  <sheetFormatPr defaultRowHeight="15"/>
  <cols>
    <col min="2" max="2" width="5" bestFit="1" customWidth="1"/>
    <col min="3" max="3" width="31.85546875" customWidth="1"/>
  </cols>
  <sheetData>
    <row r="1" spans="2:10">
      <c r="B1" s="35" t="s">
        <v>42</v>
      </c>
      <c r="C1" s="35"/>
      <c r="D1" s="35"/>
      <c r="E1" s="35"/>
      <c r="F1" s="35"/>
      <c r="G1" s="35"/>
      <c r="H1" s="35"/>
      <c r="I1" s="35"/>
      <c r="J1" s="35"/>
    </row>
    <row r="2" spans="2:10" ht="36.75">
      <c r="B2" s="8" t="s">
        <v>34</v>
      </c>
      <c r="C2" s="9" t="s">
        <v>0</v>
      </c>
      <c r="D2" s="9" t="s">
        <v>37</v>
      </c>
      <c r="E2" s="9" t="s">
        <v>1</v>
      </c>
      <c r="F2" s="10" t="s">
        <v>2</v>
      </c>
      <c r="G2" s="9" t="s">
        <v>3</v>
      </c>
      <c r="H2" s="9" t="s">
        <v>38</v>
      </c>
      <c r="I2" s="9" t="s">
        <v>40</v>
      </c>
      <c r="J2" s="9" t="s">
        <v>39</v>
      </c>
    </row>
    <row r="3" spans="2:10">
      <c r="B3" s="11">
        <v>1</v>
      </c>
      <c r="C3" s="22" t="s">
        <v>26</v>
      </c>
      <c r="D3" s="12">
        <v>62412</v>
      </c>
      <c r="E3" s="12">
        <v>6670</v>
      </c>
      <c r="F3" s="13">
        <v>5246</v>
      </c>
      <c r="G3" s="12">
        <v>0</v>
      </c>
      <c r="H3" s="12">
        <f>SUM(D3:G3)</f>
        <v>74328</v>
      </c>
      <c r="I3" s="12">
        <v>370</v>
      </c>
      <c r="J3" s="1">
        <f>SUM(H3:I3)</f>
        <v>74698</v>
      </c>
    </row>
    <row r="4" spans="2:10">
      <c r="B4" s="6">
        <v>2</v>
      </c>
      <c r="C4" s="23" t="s">
        <v>4</v>
      </c>
      <c r="D4" s="15">
        <v>64923</v>
      </c>
      <c r="E4" s="1">
        <v>6870</v>
      </c>
      <c r="F4" s="1">
        <v>5260</v>
      </c>
      <c r="G4" s="15">
        <v>0</v>
      </c>
      <c r="H4" s="15">
        <f>SUM(D4:G4)</f>
        <v>77053</v>
      </c>
      <c r="I4" s="15">
        <v>370</v>
      </c>
      <c r="J4" s="1">
        <f t="shared" ref="J4:J45" si="0">SUM(H4:I4)</f>
        <v>77423</v>
      </c>
    </row>
    <row r="5" spans="2:10">
      <c r="B5" s="6">
        <v>3</v>
      </c>
      <c r="C5" s="23" t="s">
        <v>5</v>
      </c>
      <c r="D5" s="15">
        <v>66471</v>
      </c>
      <c r="E5" s="1">
        <v>6990</v>
      </c>
      <c r="F5" s="1">
        <v>5269</v>
      </c>
      <c r="G5" s="15">
        <v>0</v>
      </c>
      <c r="H5" s="15">
        <f>SUM(D5:G5)</f>
        <v>78730</v>
      </c>
      <c r="I5" s="15">
        <v>370</v>
      </c>
      <c r="J5" s="1">
        <f t="shared" si="0"/>
        <v>79100</v>
      </c>
    </row>
    <row r="6" spans="2:10">
      <c r="B6" s="1">
        <v>4</v>
      </c>
      <c r="C6" s="24" t="s">
        <v>6</v>
      </c>
      <c r="D6" s="16">
        <v>66907</v>
      </c>
      <c r="E6" s="1">
        <v>7030</v>
      </c>
      <c r="F6" s="1">
        <v>5271</v>
      </c>
      <c r="G6" s="16">
        <v>0</v>
      </c>
      <c r="H6" s="15">
        <f>SUM(D6:G6)</f>
        <v>79208</v>
      </c>
      <c r="I6" s="14">
        <v>370</v>
      </c>
      <c r="J6" s="1">
        <f t="shared" si="0"/>
        <v>79578</v>
      </c>
    </row>
    <row r="7" spans="2:10">
      <c r="B7" s="1">
        <v>5</v>
      </c>
      <c r="C7" s="25" t="s">
        <v>7</v>
      </c>
      <c r="D7" s="16">
        <v>70385</v>
      </c>
      <c r="E7" s="1">
        <v>7302</v>
      </c>
      <c r="F7" s="1">
        <v>5291</v>
      </c>
      <c r="G7" s="16">
        <v>0</v>
      </c>
      <c r="H7" s="15">
        <f>SUM(D7:G7)</f>
        <v>82978</v>
      </c>
      <c r="I7" s="14">
        <v>370</v>
      </c>
      <c r="J7" s="1">
        <f t="shared" si="0"/>
        <v>83348</v>
      </c>
    </row>
    <row r="8" spans="2:10">
      <c r="B8" s="5"/>
      <c r="C8" s="26"/>
      <c r="D8" s="17"/>
      <c r="E8" s="2"/>
      <c r="F8" s="2"/>
      <c r="G8" s="2"/>
      <c r="H8" s="17"/>
      <c r="I8" s="18"/>
      <c r="J8" s="2"/>
    </row>
    <row r="9" spans="2:10">
      <c r="B9" s="6">
        <v>6</v>
      </c>
      <c r="C9" s="27" t="s">
        <v>8</v>
      </c>
      <c r="D9" s="15">
        <v>77684</v>
      </c>
      <c r="E9" s="1">
        <v>7886</v>
      </c>
      <c r="F9" s="1">
        <v>5332</v>
      </c>
      <c r="G9" s="15">
        <v>0</v>
      </c>
      <c r="H9" s="15">
        <f t="shared" ref="H9:H14" si="1">SUM(D9:G9)</f>
        <v>90902</v>
      </c>
      <c r="I9" s="15">
        <v>370</v>
      </c>
      <c r="J9" s="1">
        <f t="shared" si="0"/>
        <v>91272</v>
      </c>
    </row>
    <row r="10" spans="2:10">
      <c r="B10" s="6">
        <v>7</v>
      </c>
      <c r="C10" s="28" t="s">
        <v>9</v>
      </c>
      <c r="D10" s="15">
        <v>78873</v>
      </c>
      <c r="E10" s="1">
        <v>7982</v>
      </c>
      <c r="F10" s="1">
        <v>5339</v>
      </c>
      <c r="G10" s="15">
        <v>0</v>
      </c>
      <c r="H10" s="15">
        <f t="shared" si="1"/>
        <v>92194</v>
      </c>
      <c r="I10" s="15">
        <v>370</v>
      </c>
      <c r="J10" s="1">
        <f t="shared" si="0"/>
        <v>92564</v>
      </c>
    </row>
    <row r="11" spans="2:10">
      <c r="B11" s="6">
        <v>8</v>
      </c>
      <c r="C11" s="27" t="s">
        <v>33</v>
      </c>
      <c r="D11" s="15">
        <v>80944</v>
      </c>
      <c r="E11" s="1">
        <v>8150</v>
      </c>
      <c r="F11" s="1">
        <v>5351</v>
      </c>
      <c r="G11" s="15">
        <v>0</v>
      </c>
      <c r="H11" s="15">
        <f t="shared" si="1"/>
        <v>94445</v>
      </c>
      <c r="I11" s="15">
        <v>370</v>
      </c>
      <c r="J11" s="1">
        <f t="shared" si="0"/>
        <v>94815</v>
      </c>
    </row>
    <row r="12" spans="2:10">
      <c r="B12" s="6">
        <v>9</v>
      </c>
      <c r="C12" s="27" t="s">
        <v>10</v>
      </c>
      <c r="D12" s="15">
        <v>81463</v>
      </c>
      <c r="E12" s="1">
        <v>8190</v>
      </c>
      <c r="F12" s="1">
        <v>5354</v>
      </c>
      <c r="G12" s="15">
        <v>0</v>
      </c>
      <c r="H12" s="15">
        <f t="shared" si="1"/>
        <v>95007</v>
      </c>
      <c r="I12" s="15">
        <v>370</v>
      </c>
      <c r="J12" s="1">
        <f t="shared" si="0"/>
        <v>95377</v>
      </c>
    </row>
    <row r="13" spans="2:10">
      <c r="B13" s="6">
        <v>10</v>
      </c>
      <c r="C13" s="23" t="s">
        <v>11</v>
      </c>
      <c r="D13" s="15">
        <v>84556</v>
      </c>
      <c r="E13" s="1">
        <v>8438</v>
      </c>
      <c r="F13" s="1">
        <v>5371</v>
      </c>
      <c r="G13" s="15">
        <v>0</v>
      </c>
      <c r="H13" s="15">
        <f t="shared" si="1"/>
        <v>98365</v>
      </c>
      <c r="I13" s="15">
        <v>330</v>
      </c>
      <c r="J13" s="1">
        <f t="shared" si="0"/>
        <v>98695</v>
      </c>
    </row>
    <row r="14" spans="2:10">
      <c r="B14" s="6">
        <v>11</v>
      </c>
      <c r="C14" s="23" t="s">
        <v>12</v>
      </c>
      <c r="D14" s="15">
        <v>83894</v>
      </c>
      <c r="E14" s="1">
        <v>8382</v>
      </c>
      <c r="F14" s="1">
        <v>5367</v>
      </c>
      <c r="G14" s="15">
        <v>0</v>
      </c>
      <c r="H14" s="15">
        <f t="shared" si="1"/>
        <v>97643</v>
      </c>
      <c r="I14" s="15">
        <v>330</v>
      </c>
      <c r="J14" s="1">
        <f t="shared" si="0"/>
        <v>97973</v>
      </c>
    </row>
    <row r="15" spans="2:10">
      <c r="B15" s="6">
        <v>12</v>
      </c>
      <c r="C15" s="29" t="s">
        <v>41</v>
      </c>
      <c r="D15" s="15">
        <v>78993</v>
      </c>
      <c r="E15" s="4">
        <v>7990</v>
      </c>
      <c r="F15" s="4">
        <v>5340</v>
      </c>
      <c r="G15" s="4">
        <v>0</v>
      </c>
      <c r="H15" s="15">
        <f t="shared" ref="H15" si="2">SUM(D15:G15)</f>
        <v>92323</v>
      </c>
      <c r="I15" s="21">
        <v>370</v>
      </c>
      <c r="J15" s="4">
        <f t="shared" ref="J15" si="3">SUM(H15:I15)</f>
        <v>92693</v>
      </c>
    </row>
    <row r="16" spans="2:10">
      <c r="B16" s="5"/>
      <c r="C16" s="30"/>
      <c r="D16" s="17"/>
      <c r="E16" s="2"/>
      <c r="F16" s="2"/>
      <c r="G16" s="2"/>
      <c r="H16" s="17"/>
      <c r="I16" s="18"/>
      <c r="J16" s="2"/>
    </row>
    <row r="17" spans="2:10">
      <c r="B17" s="6">
        <v>13</v>
      </c>
      <c r="C17" s="31" t="s">
        <v>13</v>
      </c>
      <c r="D17" s="15">
        <v>80791</v>
      </c>
      <c r="E17" s="15">
        <v>8134</v>
      </c>
      <c r="F17" s="3">
        <v>5350</v>
      </c>
      <c r="G17" s="3">
        <v>0</v>
      </c>
      <c r="H17" s="15">
        <f>SUM(D17:G17)</f>
        <v>94275</v>
      </c>
      <c r="I17" s="15">
        <v>330</v>
      </c>
      <c r="J17" s="1">
        <f t="shared" si="0"/>
        <v>94605</v>
      </c>
    </row>
    <row r="18" spans="2:10">
      <c r="B18" s="5"/>
      <c r="C18" s="26"/>
      <c r="D18" s="17"/>
      <c r="E18" s="2"/>
      <c r="F18" s="2"/>
      <c r="G18" s="2"/>
      <c r="H18" s="17"/>
      <c r="I18" s="18"/>
      <c r="J18" s="2"/>
    </row>
    <row r="19" spans="2:10">
      <c r="B19" s="6">
        <v>14</v>
      </c>
      <c r="C19" s="24" t="s">
        <v>14</v>
      </c>
      <c r="D19" s="3">
        <v>83884</v>
      </c>
      <c r="E19" s="16">
        <v>8382</v>
      </c>
      <c r="F19" s="16">
        <v>5367</v>
      </c>
      <c r="G19" s="16">
        <v>341</v>
      </c>
      <c r="H19" s="15">
        <f>SUM(D19:G19)</f>
        <v>97974</v>
      </c>
      <c r="I19" s="15">
        <v>195</v>
      </c>
      <c r="J19" s="1">
        <f t="shared" si="0"/>
        <v>98169</v>
      </c>
    </row>
    <row r="20" spans="2:10">
      <c r="B20" s="6">
        <v>15</v>
      </c>
      <c r="C20" s="24" t="s">
        <v>15</v>
      </c>
      <c r="D20" s="3">
        <v>88124</v>
      </c>
      <c r="E20" s="16">
        <v>8726</v>
      </c>
      <c r="F20" s="16">
        <v>5391</v>
      </c>
      <c r="G20" s="16">
        <v>341</v>
      </c>
      <c r="H20" s="15">
        <f>SUM(D20:G20)</f>
        <v>102582</v>
      </c>
      <c r="I20" s="19">
        <v>195</v>
      </c>
      <c r="J20" s="1">
        <f t="shared" si="0"/>
        <v>102777</v>
      </c>
    </row>
    <row r="21" spans="2:10">
      <c r="B21" s="5"/>
      <c r="C21" s="26"/>
      <c r="D21" s="17"/>
      <c r="E21" s="2"/>
      <c r="F21" s="2"/>
      <c r="G21" s="2"/>
      <c r="H21" s="17"/>
      <c r="I21" s="18"/>
      <c r="J21" s="2"/>
    </row>
    <row r="22" spans="2:10">
      <c r="B22" s="6">
        <v>16</v>
      </c>
      <c r="C22" s="32" t="s">
        <v>16</v>
      </c>
      <c r="D22" s="15">
        <v>92627</v>
      </c>
      <c r="E22" s="15">
        <v>9086</v>
      </c>
      <c r="F22" s="15">
        <v>5360</v>
      </c>
      <c r="G22" s="15">
        <v>1015</v>
      </c>
      <c r="H22" s="15">
        <f>SUM(D22:G22)</f>
        <v>108088</v>
      </c>
      <c r="I22" s="15">
        <v>0</v>
      </c>
      <c r="J22" s="1">
        <f t="shared" si="0"/>
        <v>108088</v>
      </c>
    </row>
    <row r="23" spans="2:10">
      <c r="B23" s="6">
        <v>17</v>
      </c>
      <c r="C23" s="32" t="s">
        <v>17</v>
      </c>
      <c r="D23" s="15">
        <v>97327</v>
      </c>
      <c r="E23" s="15">
        <v>9462</v>
      </c>
      <c r="F23" s="15">
        <v>5443</v>
      </c>
      <c r="G23" s="15">
        <v>1015</v>
      </c>
      <c r="H23" s="15">
        <f>SUM(D23:G23)</f>
        <v>113247</v>
      </c>
      <c r="I23" s="15">
        <v>0</v>
      </c>
      <c r="J23" s="1">
        <f t="shared" si="0"/>
        <v>113247</v>
      </c>
    </row>
    <row r="24" spans="2:10">
      <c r="B24" s="6">
        <v>18</v>
      </c>
      <c r="C24" s="32" t="s">
        <v>18</v>
      </c>
      <c r="D24" s="15">
        <v>109327</v>
      </c>
      <c r="E24" s="15">
        <v>10422</v>
      </c>
      <c r="F24" s="15">
        <v>5511</v>
      </c>
      <c r="G24" s="15">
        <v>1015</v>
      </c>
      <c r="H24" s="15">
        <f>SUM(D24:G24)</f>
        <v>126275</v>
      </c>
      <c r="I24" s="15">
        <v>0</v>
      </c>
      <c r="J24" s="1">
        <f t="shared" si="0"/>
        <v>126275</v>
      </c>
    </row>
    <row r="25" spans="2:10">
      <c r="B25" s="5"/>
      <c r="C25" s="26"/>
      <c r="D25" s="17"/>
      <c r="E25" s="2"/>
      <c r="F25" s="2"/>
      <c r="G25" s="2"/>
      <c r="H25" s="17"/>
      <c r="I25" s="18"/>
      <c r="J25" s="2"/>
    </row>
    <row r="26" spans="2:10">
      <c r="B26" s="6">
        <v>19</v>
      </c>
      <c r="C26" s="32" t="s">
        <v>28</v>
      </c>
      <c r="D26" s="15">
        <v>109456</v>
      </c>
      <c r="E26" s="4">
        <v>10430</v>
      </c>
      <c r="F26" s="4">
        <v>9679</v>
      </c>
      <c r="G26" s="4">
        <v>755</v>
      </c>
      <c r="H26" s="15">
        <f>SUM(D26:G26)</f>
        <v>130320</v>
      </c>
      <c r="I26" s="15">
        <v>0</v>
      </c>
      <c r="J26" s="1">
        <f t="shared" si="0"/>
        <v>130320</v>
      </c>
    </row>
    <row r="27" spans="2:10">
      <c r="B27" s="6">
        <v>20</v>
      </c>
      <c r="C27" s="32" t="s">
        <v>29</v>
      </c>
      <c r="D27" s="15">
        <v>113973</v>
      </c>
      <c r="E27" s="4">
        <v>10790</v>
      </c>
      <c r="F27" s="4">
        <v>9706</v>
      </c>
      <c r="G27" s="4">
        <v>755</v>
      </c>
      <c r="H27" s="15">
        <f>SUM(D27:G27)</f>
        <v>135224</v>
      </c>
      <c r="I27" s="15">
        <v>0</v>
      </c>
      <c r="J27" s="1">
        <f t="shared" si="0"/>
        <v>135224</v>
      </c>
    </row>
    <row r="28" spans="2:10">
      <c r="B28" s="6">
        <v>21</v>
      </c>
      <c r="C28" s="32" t="s">
        <v>30</v>
      </c>
      <c r="D28" s="15">
        <v>137807</v>
      </c>
      <c r="E28" s="4">
        <v>12702</v>
      </c>
      <c r="F28" s="4">
        <v>9845</v>
      </c>
      <c r="G28" s="4">
        <v>755</v>
      </c>
      <c r="H28" s="15">
        <f>SUM(D28:G28)</f>
        <v>161109</v>
      </c>
      <c r="I28" s="15">
        <v>0</v>
      </c>
      <c r="J28" s="1">
        <f t="shared" si="0"/>
        <v>161109</v>
      </c>
    </row>
    <row r="29" spans="2:10">
      <c r="B29" s="5"/>
      <c r="C29" s="26"/>
      <c r="D29" s="17"/>
      <c r="E29" s="2"/>
      <c r="F29" s="2"/>
      <c r="G29" s="2"/>
      <c r="H29" s="17"/>
      <c r="I29" s="18"/>
      <c r="J29" s="2"/>
    </row>
    <row r="30" spans="2:10">
      <c r="B30" s="5"/>
      <c r="C30" s="26"/>
      <c r="D30" s="17"/>
      <c r="E30" s="2"/>
      <c r="F30" s="2"/>
      <c r="G30" s="2"/>
      <c r="H30" s="17"/>
      <c r="I30" s="18"/>
      <c r="J30" s="2"/>
    </row>
    <row r="31" spans="2:10">
      <c r="B31" s="6">
        <v>22</v>
      </c>
      <c r="C31" s="32" t="s">
        <v>19</v>
      </c>
      <c r="D31" s="15">
        <v>89738</v>
      </c>
      <c r="E31" s="4">
        <v>8854</v>
      </c>
      <c r="F31" s="4">
        <v>5400</v>
      </c>
      <c r="G31" s="4">
        <v>368</v>
      </c>
      <c r="H31" s="15">
        <f>SUM(D31:G31)</f>
        <v>104360</v>
      </c>
      <c r="I31" s="15">
        <v>195</v>
      </c>
      <c r="J31" s="1">
        <f t="shared" si="0"/>
        <v>104555</v>
      </c>
    </row>
    <row r="32" spans="2:10">
      <c r="B32" s="6">
        <v>23</v>
      </c>
      <c r="C32" s="32" t="s">
        <v>20</v>
      </c>
      <c r="D32" s="15">
        <v>96213</v>
      </c>
      <c r="E32" s="4">
        <v>9374</v>
      </c>
      <c r="F32" s="4">
        <v>5437</v>
      </c>
      <c r="G32" s="4">
        <v>368</v>
      </c>
      <c r="H32" s="15">
        <f>SUM(D32:G32)</f>
        <v>111392</v>
      </c>
      <c r="I32" s="4">
        <v>195</v>
      </c>
      <c r="J32" s="1">
        <f t="shared" si="0"/>
        <v>111587</v>
      </c>
    </row>
    <row r="33" spans="2:10">
      <c r="B33" s="5"/>
      <c r="C33" s="26"/>
      <c r="D33" s="17"/>
      <c r="E33" s="2"/>
      <c r="F33" s="2"/>
      <c r="G33" s="2"/>
      <c r="H33" s="17"/>
      <c r="I33" s="18"/>
      <c r="J33" s="2"/>
    </row>
    <row r="34" spans="2:10">
      <c r="B34" s="6">
        <v>24</v>
      </c>
      <c r="C34" s="32" t="s">
        <v>35</v>
      </c>
      <c r="D34" s="15">
        <v>87852</v>
      </c>
      <c r="E34" s="1">
        <v>8702</v>
      </c>
      <c r="F34" s="1">
        <v>5390</v>
      </c>
      <c r="G34" s="1">
        <v>1234</v>
      </c>
      <c r="H34" s="15">
        <f>SUM(D34:G34)</f>
        <v>103178</v>
      </c>
      <c r="I34" s="7">
        <v>0</v>
      </c>
      <c r="J34" s="1">
        <f t="shared" si="0"/>
        <v>103178</v>
      </c>
    </row>
    <row r="35" spans="2:10">
      <c r="B35" s="6">
        <v>25</v>
      </c>
      <c r="C35" s="27" t="s">
        <v>36</v>
      </c>
      <c r="D35" s="15">
        <v>94730</v>
      </c>
      <c r="E35" s="1">
        <v>9254</v>
      </c>
      <c r="F35" s="1">
        <v>5429</v>
      </c>
      <c r="G35" s="1">
        <v>1234</v>
      </c>
      <c r="H35" s="15">
        <f>SUM(D35:G35)</f>
        <v>110647</v>
      </c>
      <c r="I35" s="7">
        <v>0</v>
      </c>
      <c r="J35" s="1">
        <f t="shared" si="0"/>
        <v>110647</v>
      </c>
    </row>
    <row r="36" spans="2:10">
      <c r="B36" s="5"/>
      <c r="C36" s="26"/>
      <c r="D36" s="17"/>
      <c r="E36" s="2"/>
      <c r="F36" s="2"/>
      <c r="G36" s="2"/>
      <c r="H36" s="17"/>
      <c r="I36" s="18"/>
      <c r="J36" s="2"/>
    </row>
    <row r="37" spans="2:10">
      <c r="B37" s="6">
        <v>26</v>
      </c>
      <c r="C37" s="32" t="s">
        <v>31</v>
      </c>
      <c r="D37" s="15">
        <v>75027</v>
      </c>
      <c r="E37" s="4">
        <v>7678</v>
      </c>
      <c r="F37" s="4">
        <v>5317</v>
      </c>
      <c r="G37" s="4">
        <v>1225</v>
      </c>
      <c r="H37" s="15">
        <f t="shared" ref="H37:H42" si="4">SUM(D37:G37)</f>
        <v>89247</v>
      </c>
      <c r="I37" s="7">
        <v>300</v>
      </c>
      <c r="J37" s="1">
        <f t="shared" si="0"/>
        <v>89547</v>
      </c>
    </row>
    <row r="38" spans="2:10">
      <c r="B38" s="6">
        <v>27</v>
      </c>
      <c r="C38" s="32" t="s">
        <v>32</v>
      </c>
      <c r="D38" s="15">
        <v>83527</v>
      </c>
      <c r="E38" s="4">
        <v>8358</v>
      </c>
      <c r="F38" s="4">
        <v>5365</v>
      </c>
      <c r="G38" s="4">
        <v>1225</v>
      </c>
      <c r="H38" s="15">
        <f t="shared" si="4"/>
        <v>98475</v>
      </c>
      <c r="I38" s="7">
        <v>300</v>
      </c>
      <c r="J38" s="1">
        <f t="shared" si="0"/>
        <v>98775</v>
      </c>
    </row>
    <row r="39" spans="2:10">
      <c r="B39" s="6">
        <v>28</v>
      </c>
      <c r="C39" s="33" t="s">
        <v>21</v>
      </c>
      <c r="D39" s="15">
        <v>76209</v>
      </c>
      <c r="E39" s="1">
        <v>7774</v>
      </c>
      <c r="F39" s="1">
        <v>5324</v>
      </c>
      <c r="G39" s="1">
        <v>1234</v>
      </c>
      <c r="H39" s="15">
        <f t="shared" si="4"/>
        <v>90541</v>
      </c>
      <c r="I39" s="7">
        <v>300</v>
      </c>
      <c r="J39" s="1">
        <f t="shared" si="0"/>
        <v>90841</v>
      </c>
    </row>
    <row r="40" spans="2:10">
      <c r="B40" s="6">
        <v>29</v>
      </c>
      <c r="C40" s="33" t="s">
        <v>22</v>
      </c>
      <c r="D40" s="15">
        <v>80840</v>
      </c>
      <c r="E40" s="4">
        <v>8142</v>
      </c>
      <c r="F40" s="4">
        <v>5350</v>
      </c>
      <c r="G40" s="4">
        <v>1225</v>
      </c>
      <c r="H40" s="15">
        <f t="shared" si="4"/>
        <v>95557</v>
      </c>
      <c r="I40" s="7">
        <v>300</v>
      </c>
      <c r="J40" s="1">
        <f t="shared" si="0"/>
        <v>95857</v>
      </c>
    </row>
    <row r="41" spans="2:10">
      <c r="B41" s="6">
        <v>30</v>
      </c>
      <c r="C41" s="33" t="s">
        <v>23</v>
      </c>
      <c r="D41" s="15">
        <v>90299</v>
      </c>
      <c r="E41" s="4">
        <v>8894</v>
      </c>
      <c r="F41" s="4">
        <v>5404</v>
      </c>
      <c r="G41" s="4">
        <v>1225</v>
      </c>
      <c r="H41" s="15">
        <f t="shared" si="4"/>
        <v>105822</v>
      </c>
      <c r="I41" s="7">
        <v>300</v>
      </c>
      <c r="J41" s="1">
        <f t="shared" si="0"/>
        <v>106122</v>
      </c>
    </row>
    <row r="42" spans="2:10">
      <c r="B42" s="6">
        <v>31</v>
      </c>
      <c r="C42" s="27" t="s">
        <v>24</v>
      </c>
      <c r="D42" s="15">
        <v>91370</v>
      </c>
      <c r="E42" s="1">
        <v>8982</v>
      </c>
      <c r="F42" s="1">
        <v>5410</v>
      </c>
      <c r="G42" s="1">
        <v>1225</v>
      </c>
      <c r="H42" s="15">
        <f t="shared" si="4"/>
        <v>106987</v>
      </c>
      <c r="I42" s="7">
        <v>300</v>
      </c>
      <c r="J42" s="1">
        <f t="shared" si="0"/>
        <v>107287</v>
      </c>
    </row>
    <row r="43" spans="2:10">
      <c r="B43" s="5"/>
      <c r="C43" s="26"/>
      <c r="D43" s="17"/>
      <c r="E43" s="2"/>
      <c r="F43" s="2"/>
      <c r="G43" s="2"/>
      <c r="H43" s="17"/>
      <c r="I43" s="18"/>
      <c r="J43" s="2"/>
    </row>
    <row r="44" spans="2:10">
      <c r="B44" s="6">
        <v>32</v>
      </c>
      <c r="C44" s="34" t="s">
        <v>25</v>
      </c>
      <c r="D44" s="20">
        <v>74907</v>
      </c>
      <c r="E44" s="15">
        <v>7670</v>
      </c>
      <c r="F44" s="20">
        <v>5317</v>
      </c>
      <c r="G44" s="20">
        <v>829</v>
      </c>
      <c r="H44" s="15">
        <f>SUM(D44:G44)</f>
        <v>88723</v>
      </c>
      <c r="I44" s="7">
        <v>300</v>
      </c>
      <c r="J44" s="1">
        <f t="shared" si="0"/>
        <v>89023</v>
      </c>
    </row>
    <row r="45" spans="2:10">
      <c r="B45" s="6">
        <v>33</v>
      </c>
      <c r="C45" s="34" t="s">
        <v>27</v>
      </c>
      <c r="D45" s="20">
        <v>78736</v>
      </c>
      <c r="E45" s="15">
        <v>7974</v>
      </c>
      <c r="F45" s="20">
        <v>5338</v>
      </c>
      <c r="G45" s="20">
        <v>829</v>
      </c>
      <c r="H45" s="15">
        <f>SUM(D45:G45)</f>
        <v>92877</v>
      </c>
      <c r="I45" s="7">
        <v>300</v>
      </c>
      <c r="J45" s="1">
        <f t="shared" si="0"/>
        <v>93177</v>
      </c>
    </row>
  </sheetData>
  <mergeCells count="1">
    <mergeCell ref="B1:J1"/>
  </mergeCells>
  <pageMargins left="0.28999999999999998" right="0.3" top="0.41" bottom="0.49" header="0.31496062992125984" footer="0.31496062992125984"/>
  <pageSetup paperSize="9" scale="8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2026-05-19T09:20:11Z</dcterms:modified>
</cp:coreProperties>
</file>